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projects\stock_val_streamlit\data\valuations\"/>
    </mc:Choice>
  </mc:AlternateContent>
  <xr:revisionPtr revIDLastSave="0" documentId="13_ncr:1_{9BFABDDD-4A70-4574-99D6-3E3D60ED26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ck_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B27" i="1"/>
  <c r="C25" i="1"/>
  <c r="C32" i="1" s="1"/>
  <c r="C34" i="1" s="1"/>
  <c r="C36" i="1" s="1"/>
  <c r="C38" i="1" s="1"/>
  <c r="C24" i="1"/>
  <c r="B24" i="1"/>
  <c r="B25" i="1" s="1"/>
  <c r="B32" i="1" s="1"/>
  <c r="B34" i="1" s="1"/>
  <c r="B36" i="1" s="1"/>
  <c r="B38" i="1" s="1"/>
  <c r="B19" i="1"/>
  <c r="B15" i="1"/>
  <c r="B14" i="1"/>
  <c r="B9" i="1"/>
  <c r="B10" i="1" s="1"/>
  <c r="B6" i="1"/>
  <c r="B40" i="1" l="1"/>
</calcChain>
</file>

<file path=xl/sharedStrings.xml><?xml version="1.0" encoding="utf-8"?>
<sst xmlns="http://schemas.openxmlformats.org/spreadsheetml/2006/main" count="36" uniqueCount="36">
  <si>
    <t>2025Q3</t>
  </si>
  <si>
    <t>Ticker</t>
  </si>
  <si>
    <t>PANW</t>
  </si>
  <si>
    <t>Share Price</t>
  </si>
  <si>
    <t>Shares Outstanding</t>
  </si>
  <si>
    <t>Market Cap (auto)</t>
  </si>
  <si>
    <t>Revenue (Qtr)</t>
  </si>
  <si>
    <t>COGS</t>
  </si>
  <si>
    <t>Gross Profit</t>
  </si>
  <si>
    <t>Gross Margin</t>
  </si>
  <si>
    <t>OPEX</t>
  </si>
  <si>
    <t>Operating Profit</t>
  </si>
  <si>
    <t>Operating Margin</t>
  </si>
  <si>
    <t>EBITDA PS</t>
  </si>
  <si>
    <t>Cash</t>
  </si>
  <si>
    <t>Debt</t>
  </si>
  <si>
    <t>Net Cash (auto)</t>
  </si>
  <si>
    <t xml:space="preserve">Mid Scenario </t>
  </si>
  <si>
    <t>Good Scenario</t>
  </si>
  <si>
    <t>Expected Revenue CAGR (5y)</t>
  </si>
  <si>
    <t>E Operated Margin</t>
  </si>
  <si>
    <t>E Revenue</t>
  </si>
  <si>
    <t>E EBITDA</t>
  </si>
  <si>
    <t>E Dilution (5yr)</t>
  </si>
  <si>
    <t>E Shares Outstanding</t>
  </si>
  <si>
    <t>LT Net Debt</t>
  </si>
  <si>
    <t>Interest Rate on Debt</t>
  </si>
  <si>
    <t>Tax Rate</t>
  </si>
  <si>
    <t>Earning</t>
  </si>
  <si>
    <t>Expected EPS</t>
  </si>
  <si>
    <t>LT Earning Multiple</t>
  </si>
  <si>
    <t>Predicted Share Price (5 yr)</t>
  </si>
  <si>
    <t>Discounted rate</t>
  </si>
  <si>
    <t>Predicted Share Price</t>
  </si>
  <si>
    <t>Subjective Confidence Factor</t>
  </si>
  <si>
    <t>Suggested Position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</si>
</sst>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4" fontId="3" fillId="2" borderId="1" xfId="0" applyNumberFormat="1" applyFont="1" applyFill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0" fontId="2" fillId="0" borderId="0" xfId="0" applyFont="1"/>
    <xf numFmtId="9" fontId="3" fillId="0" borderId="1" xfId="0" applyNumberFormat="1" applyFont="1" applyBorder="1"/>
    <xf numFmtId="0" fontId="3" fillId="0" borderId="0" xfId="0" applyFont="1"/>
    <xf numFmtId="0" fontId="3" fillId="3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4" fontId="3" fillId="2" borderId="4" xfId="0" applyNumberFormat="1" applyFont="1" applyFill="1" applyBorder="1"/>
    <xf numFmtId="9" fontId="3" fillId="0" borderId="2" xfId="0" applyNumberFormat="1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40"/>
  <sheetViews>
    <sheetView tabSelected="1" topLeftCell="A12" workbookViewId="0">
      <selection activeCell="A26" sqref="A26"/>
    </sheetView>
  </sheetViews>
  <sheetFormatPr defaultColWidth="12.6640625" defaultRowHeight="15.75" customHeight="1" x14ac:dyDescent="0.3"/>
  <cols>
    <col min="1" max="1" width="25.33203125" customWidth="1"/>
    <col min="2" max="2" width="16.21875" customWidth="1"/>
    <col min="3" max="3" width="13.77734375" customWidth="1"/>
  </cols>
  <sheetData>
    <row r="2" spans="1:2" ht="13.8" customHeight="1" x14ac:dyDescent="0.3">
      <c r="B2" s="1" t="s">
        <v>0</v>
      </c>
    </row>
    <row r="3" spans="1:2" ht="15.75" customHeight="1" x14ac:dyDescent="0.3">
      <c r="A3" s="2" t="s">
        <v>1</v>
      </c>
      <c r="B3" s="3" t="s">
        <v>2</v>
      </c>
    </row>
    <row r="4" spans="1:2" ht="15.75" customHeight="1" x14ac:dyDescent="0.3">
      <c r="A4" s="2" t="s">
        <v>3</v>
      </c>
      <c r="B4" s="4">
        <v>185.07</v>
      </c>
    </row>
    <row r="5" spans="1:2" ht="15.75" customHeight="1" x14ac:dyDescent="0.3">
      <c r="A5" s="2" t="s">
        <v>4</v>
      </c>
      <c r="B5" s="5">
        <v>683982.69400000002</v>
      </c>
    </row>
    <row r="6" spans="1:2" ht="15.75" customHeight="1" x14ac:dyDescent="0.3">
      <c r="A6" s="2" t="s">
        <v>5</v>
      </c>
      <c r="B6" s="5">
        <f>B5*B4</f>
        <v>126584677.17858</v>
      </c>
    </row>
    <row r="7" spans="1:2" ht="15.75" customHeight="1" x14ac:dyDescent="0.3">
      <c r="A7" s="2" t="s">
        <v>6</v>
      </c>
      <c r="B7" s="5">
        <v>2536300</v>
      </c>
    </row>
    <row r="8" spans="1:2" ht="15.75" customHeight="1" x14ac:dyDescent="0.3">
      <c r="A8" s="2" t="s">
        <v>7</v>
      </c>
      <c r="B8" s="5">
        <v>679000</v>
      </c>
    </row>
    <row r="9" spans="1:2" ht="13.8" customHeight="1" x14ac:dyDescent="0.3">
      <c r="A9" s="3" t="s">
        <v>8</v>
      </c>
      <c r="B9" s="5">
        <f>B7-B8</f>
        <v>1857300</v>
      </c>
    </row>
    <row r="10" spans="1:2" ht="15.75" customHeight="1" x14ac:dyDescent="0.3">
      <c r="A10" s="2" t="s">
        <v>9</v>
      </c>
      <c r="B10" s="6">
        <f>B9/B7</f>
        <v>0.73228719000118281</v>
      </c>
    </row>
    <row r="12" spans="1:2" ht="13.8" customHeight="1" x14ac:dyDescent="0.3">
      <c r="A12" s="3" t="s">
        <v>10</v>
      </c>
      <c r="B12" s="5">
        <v>503500</v>
      </c>
    </row>
    <row r="13" spans="1:2" ht="13.8" customHeight="1" x14ac:dyDescent="0.3">
      <c r="A13" s="3" t="s">
        <v>11</v>
      </c>
      <c r="B13" s="5">
        <v>497200</v>
      </c>
    </row>
    <row r="14" spans="1:2" ht="15.75" customHeight="1" x14ac:dyDescent="0.3">
      <c r="A14" s="2" t="s">
        <v>12</v>
      </c>
      <c r="B14" s="6">
        <f>B13/B7</f>
        <v>0.19603359224066555</v>
      </c>
    </row>
    <row r="15" spans="1:2" ht="15.75" customHeight="1" x14ac:dyDescent="0.3">
      <c r="A15" s="2" t="s">
        <v>13</v>
      </c>
      <c r="B15" s="5">
        <f>B13/B5</f>
        <v>0.72691897669562966</v>
      </c>
    </row>
    <row r="17" spans="1:3" ht="15.75" customHeight="1" x14ac:dyDescent="0.3">
      <c r="A17" s="2" t="s">
        <v>14</v>
      </c>
      <c r="B17" s="5">
        <v>2268600</v>
      </c>
    </row>
    <row r="18" spans="1:3" ht="15.75" customHeight="1" x14ac:dyDescent="0.3">
      <c r="A18" s="2" t="s">
        <v>15</v>
      </c>
      <c r="B18" s="5">
        <v>338200</v>
      </c>
    </row>
    <row r="19" spans="1:3" ht="15.75" customHeight="1" x14ac:dyDescent="0.3">
      <c r="A19" s="2" t="s">
        <v>16</v>
      </c>
      <c r="B19" s="5">
        <f>B17-B18</f>
        <v>1930400</v>
      </c>
    </row>
    <row r="21" spans="1:3" ht="15.75" customHeight="1" x14ac:dyDescent="0.3">
      <c r="A21" s="7"/>
      <c r="B21" s="1" t="s">
        <v>17</v>
      </c>
      <c r="C21" s="1" t="s">
        <v>18</v>
      </c>
    </row>
    <row r="22" spans="1:3" ht="13.8" customHeight="1" x14ac:dyDescent="0.3">
      <c r="A22" s="10" t="s">
        <v>19</v>
      </c>
      <c r="B22" s="8">
        <v>0.1</v>
      </c>
      <c r="C22" s="8">
        <v>0.15</v>
      </c>
    </row>
    <row r="23" spans="1:3" ht="13.8" customHeight="1" x14ac:dyDescent="0.3">
      <c r="A23" s="10" t="s">
        <v>20</v>
      </c>
      <c r="B23" s="8">
        <v>0.3</v>
      </c>
      <c r="C23" s="8">
        <v>0.35</v>
      </c>
    </row>
    <row r="24" spans="1:3" ht="13.8" customHeight="1" x14ac:dyDescent="0.3">
      <c r="A24" s="3" t="s">
        <v>21</v>
      </c>
      <c r="B24" s="5">
        <f>B7*4*((1+B22)^5)</f>
        <v>16338946.052000005</v>
      </c>
      <c r="C24" s="5">
        <f>B7*4*((1+C22)^5)</f>
        <v>20405620.938624993</v>
      </c>
    </row>
    <row r="25" spans="1:3" ht="13.8" customHeight="1" x14ac:dyDescent="0.3">
      <c r="A25" s="3" t="s">
        <v>22</v>
      </c>
      <c r="B25" s="5">
        <f>B24*B23</f>
        <v>4901683.8156000013</v>
      </c>
      <c r="C25" s="5">
        <f>C24*C23</f>
        <v>7141967.3285187474</v>
      </c>
    </row>
    <row r="26" spans="1:3" ht="13.8" customHeight="1" x14ac:dyDescent="0.3">
      <c r="A26" s="10" t="s">
        <v>23</v>
      </c>
      <c r="B26" s="8">
        <v>0</v>
      </c>
      <c r="C26" s="8">
        <v>0</v>
      </c>
    </row>
    <row r="27" spans="1:3" ht="13.8" customHeight="1" x14ac:dyDescent="0.3">
      <c r="A27" s="3" t="s">
        <v>24</v>
      </c>
      <c r="B27" s="5">
        <f>B5*(1+B26)</f>
        <v>683982.69400000002</v>
      </c>
      <c r="C27" s="5">
        <f>B5*(1+C26)</f>
        <v>683982.69400000002</v>
      </c>
    </row>
    <row r="29" spans="1:3" ht="13.8" customHeight="1" x14ac:dyDescent="0.3">
      <c r="A29" s="10" t="s">
        <v>25</v>
      </c>
      <c r="B29" s="5">
        <v>0</v>
      </c>
      <c r="C29" s="5">
        <v>0</v>
      </c>
    </row>
    <row r="30" spans="1:3" ht="13.8" customHeight="1" x14ac:dyDescent="0.3">
      <c r="A30" s="10" t="s">
        <v>26</v>
      </c>
      <c r="B30" s="8">
        <v>0.05</v>
      </c>
      <c r="C30" s="8">
        <v>0.04</v>
      </c>
    </row>
    <row r="31" spans="1:3" ht="13.8" customHeight="1" x14ac:dyDescent="0.3">
      <c r="A31" s="10" t="s">
        <v>27</v>
      </c>
      <c r="B31" s="8">
        <v>0.2</v>
      </c>
      <c r="C31" s="8">
        <v>0.18</v>
      </c>
    </row>
    <row r="32" spans="1:3" ht="13.8" customHeight="1" x14ac:dyDescent="0.3">
      <c r="A32" s="3" t="s">
        <v>28</v>
      </c>
      <c r="B32" s="5">
        <f>(B25-B29*B30)*(1-B31)</f>
        <v>3921347.052480001</v>
      </c>
      <c r="C32" s="5">
        <f>(C25-C29*C30)*(1-C31)</f>
        <v>5856413.2093853736</v>
      </c>
    </row>
    <row r="34" spans="1:3" ht="13.8" customHeight="1" x14ac:dyDescent="0.3">
      <c r="A34" s="3" t="s">
        <v>29</v>
      </c>
      <c r="B34" s="5">
        <f>B32/B27</f>
        <v>5.7331085813700442</v>
      </c>
      <c r="C34" s="5">
        <f>C32/C27</f>
        <v>8.5622242503483186</v>
      </c>
    </row>
    <row r="35" spans="1:3" ht="13.8" customHeight="1" x14ac:dyDescent="0.3">
      <c r="A35" s="3" t="s">
        <v>30</v>
      </c>
      <c r="B35" s="3">
        <v>20</v>
      </c>
      <c r="C35" s="3">
        <v>25</v>
      </c>
    </row>
    <row r="36" spans="1:3" ht="13.8" customHeight="1" x14ac:dyDescent="0.3">
      <c r="A36" s="3" t="s">
        <v>31</v>
      </c>
      <c r="B36" s="5">
        <f>B34*B35</f>
        <v>114.66217162740088</v>
      </c>
      <c r="C36" s="5">
        <f>C34*C35</f>
        <v>214.05560625870797</v>
      </c>
    </row>
    <row r="37" spans="1:3" ht="13.8" customHeight="1" x14ac:dyDescent="0.3">
      <c r="A37" s="9" t="s">
        <v>32</v>
      </c>
      <c r="B37" s="8">
        <v>0.05</v>
      </c>
      <c r="C37" s="8">
        <v>0.05</v>
      </c>
    </row>
    <row r="38" spans="1:3" ht="13.8" customHeight="1" x14ac:dyDescent="0.3">
      <c r="A38" s="3" t="s">
        <v>33</v>
      </c>
      <c r="B38" s="13">
        <f>B36/((B37+1)^5)</f>
        <v>89.840811774165914</v>
      </c>
      <c r="C38" s="13">
        <f>C36/((C37+1)^5)</f>
        <v>167.71816858296734</v>
      </c>
    </row>
    <row r="39" spans="1:3" ht="13.8" customHeight="1" x14ac:dyDescent="0.3">
      <c r="A39" s="11" t="s">
        <v>34</v>
      </c>
      <c r="B39" s="14">
        <v>1</v>
      </c>
      <c r="C39" s="15"/>
    </row>
    <row r="40" spans="1:3" ht="13.8" customHeight="1" x14ac:dyDescent="0.3">
      <c r="A40" s="12" t="s">
        <v>35</v>
      </c>
      <c r="B40" s="14">
        <f>((C38*B39-B4)/(C38*B39-B38))</f>
        <v>-0.2228097116808106</v>
      </c>
      <c r="C40" s="15"/>
    </row>
  </sheetData>
  <mergeCells count="2">
    <mergeCell ref="B39:C39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stock_val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kbk</dc:creator>
  <cp:lastModifiedBy>kbk</cp:lastModifiedBy>
  <dcterms:created xsi:type="dcterms:W3CDTF">2025-11-17T07:16:00Z</dcterms:created>
  <dcterms:modified xsi:type="dcterms:W3CDTF">2025-11-21T00:29:44Z</dcterms:modified>
</cp:coreProperties>
</file>