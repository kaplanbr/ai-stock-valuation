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U:\projects\stock_val_streamlit\data\valuations\ai-summaries\"/>
    </mc:Choice>
  </mc:AlternateContent>
  <xr:revisionPtr revIDLastSave="0" documentId="13_ncr:1_{07FAFA12-DF3A-42EE-864C-C8FC08C167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ock_v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7" i="1" l="1"/>
  <c r="B27" i="1"/>
  <c r="C24" i="1"/>
  <c r="C25" i="1" s="1"/>
  <c r="C32" i="1" s="1"/>
  <c r="C34" i="1" s="1"/>
  <c r="C36" i="1" s="1"/>
  <c r="C38" i="1" s="1"/>
  <c r="B24" i="1"/>
  <c r="B25" i="1" s="1"/>
  <c r="B32" i="1" s="1"/>
  <c r="B34" i="1" s="1"/>
  <c r="B36" i="1" s="1"/>
  <c r="B38" i="1" s="1"/>
  <c r="B19" i="1"/>
  <c r="B15" i="1"/>
  <c r="B14" i="1"/>
  <c r="B9" i="1"/>
  <c r="B10" i="1" s="1"/>
  <c r="B6" i="1"/>
  <c r="B40" i="1" l="1"/>
</calcChain>
</file>

<file path=xl/sharedStrings.xml><?xml version="1.0" encoding="utf-8"?>
<sst xmlns="http://schemas.openxmlformats.org/spreadsheetml/2006/main" count="37" uniqueCount="37">
  <si>
    <t>2025Q3</t>
  </si>
  <si>
    <t>Ticker</t>
  </si>
  <si>
    <t>PANW</t>
  </si>
  <si>
    <t xml:space="preserve">### 1. Company snapshot:
Palo Alto Networks (PANW) is a leading global cybersecurity company. It provides advanced security solutions, including next-generation firewalls, cloud security, and security operations platforms, helping enterprises prevent cyberattacks across various environments.
### 2. Pros:
PANW benefits from a robust and growing cybersecurity market, maintaining a strong competitive position with a comprehensive product suite. The company exhibits high gross margins (73%) and has a healthy net cash position of $1.93 million, indicating financial stability.
### 3. Cons:
Despite strong revenue, PANW faces significant operating expenses, impacting its current operating profit margin (19.6%). The cybersecurity market is highly competitive, and PANW's valuation often reflects high growth expectations, posing potential risk if growth slows.
### 4. Scenario Suggestions:
*   **Expected Revenue CAGR (5y):** I suggest **mid** 25% and **good** 30% due to strong, ongoing demand in cybersecurity.
*   **Expected Operating Margin:** I suggest **mid** 25% and **good** 30%, anticipating scaling efficiencies improving from current levels.
*   **Expected Dilution (5y):** I suggest **mid** 6% and **good** 4%, factoring in typical tech company stock compensation but also strong performance reducing need for more.
*   **Longterm Debt (lt_net_debt):** I suggest **mid** 0 and **good** 0, as PANW is net cash positive and likely to remain so.
*   **Interest Rate on Debt (interest_rate_debt):** I suggest **mid** 5% and **good** 4%, reflecting favorable terms for a financially stable company with low debt.
*   **Tax rate (tax_rate):** I suggest **mid** 20% and **good** 18%, considering standard corporate rates with potential for tax credits.
*   **Long Term Earning Multiple (lt_earning_multiple):** I suggest **mid** 35 and **good** 45, reflecting PANW's continued high-growth potential in tech.
</t>
  </si>
  <si>
    <t>Share Price</t>
  </si>
  <si>
    <t>Shares Outstanding</t>
  </si>
  <si>
    <t>Market Cap (auto)</t>
  </si>
  <si>
    <t>Revenue (Qtr)</t>
  </si>
  <si>
    <t>COGS</t>
  </si>
  <si>
    <t>Gross Profit</t>
  </si>
  <si>
    <t>Gross Margin</t>
  </si>
  <si>
    <t>OPEX</t>
  </si>
  <si>
    <t>Operating Profit</t>
  </si>
  <si>
    <t>Operating Margin</t>
  </si>
  <si>
    <t>EBITDA PS</t>
  </si>
  <si>
    <t>Cash</t>
  </si>
  <si>
    <t>Debt</t>
  </si>
  <si>
    <t>Net Cash (auto)</t>
  </si>
  <si>
    <t xml:space="preserve">Mid Scenario </t>
  </si>
  <si>
    <t>Good Scenario</t>
  </si>
  <si>
    <t>Expected Revenue CAGR (5y)</t>
  </si>
  <si>
    <t>E Operated Margin</t>
  </si>
  <si>
    <t>E Revenue</t>
  </si>
  <si>
    <t>E EBITDA</t>
  </si>
  <si>
    <t>E Dilution (5yr)</t>
  </si>
  <si>
    <t>E Shares Outstanding</t>
  </si>
  <si>
    <t>LT Net Debt</t>
  </si>
  <si>
    <t>Interest Rate on Debt</t>
  </si>
  <si>
    <t>Tax Rate</t>
  </si>
  <si>
    <t>Earning</t>
  </si>
  <si>
    <t>Expected EPS</t>
  </si>
  <si>
    <t>LT Earning Multiple</t>
  </si>
  <si>
    <t>Predicted Share Price (5 yr)</t>
  </si>
  <si>
    <t>Discounted rate</t>
  </si>
  <si>
    <t>Predicted Share Price</t>
  </si>
  <si>
    <t>Subjective Confidence Factor</t>
  </si>
  <si>
    <t>Suggested Position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</si>
</sst>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4" fontId="3" fillId="2" borderId="1" xfId="0" applyNumberFormat="1" applyFont="1" applyFill="1" applyBorder="1"/>
    <xf numFmtId="4" fontId="3" fillId="0" borderId="1" xfId="0" applyNumberFormat="1" applyFont="1" applyBorder="1"/>
    <xf numFmtId="10" fontId="3" fillId="0" borderId="1" xfId="0" applyNumberFormat="1" applyFont="1" applyBorder="1"/>
    <xf numFmtId="0" fontId="2" fillId="0" borderId="0" xfId="0" applyFont="1"/>
    <xf numFmtId="9" fontId="3" fillId="0" borderId="1" xfId="0" applyNumberFormat="1" applyFont="1" applyBorder="1"/>
    <xf numFmtId="0" fontId="3" fillId="0" borderId="0" xfId="0" applyFont="1"/>
    <xf numFmtId="0" fontId="3" fillId="3" borderId="1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4" fontId="3" fillId="2" borderId="4" xfId="0" applyNumberFormat="1" applyFont="1" applyFill="1" applyBorder="1"/>
    <xf numFmtId="9" fontId="3" fillId="0" borderId="2" xfId="0" applyNumberFormat="1" applyFont="1" applyBorder="1" applyAlignment="1">
      <alignment horizontal="center"/>
    </xf>
    <xf numFmtId="0" fontId="0" fillId="0" borderId="5" xfId="0" applyBorder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0"/>
  <sheetViews>
    <sheetView tabSelected="1" topLeftCell="A12" workbookViewId="0">
      <selection activeCell="A26" sqref="A26"/>
    </sheetView>
  </sheetViews>
  <sheetFormatPr defaultColWidth="12.6640625" defaultRowHeight="15.75" customHeight="1" x14ac:dyDescent="0.3"/>
  <cols>
    <col min="1" max="1" width="25.33203125" customWidth="1"/>
    <col min="2" max="2" width="16.21875" customWidth="1"/>
    <col min="3" max="3" width="13.77734375" customWidth="1"/>
  </cols>
  <sheetData>
    <row r="1" spans="1:11" ht="13.8" x14ac:dyDescent="0.3"/>
    <row r="2" spans="1:11" ht="13.8" customHeight="1" x14ac:dyDescent="0.3">
      <c r="B2" s="1" t="s">
        <v>0</v>
      </c>
    </row>
    <row r="3" spans="1:11" ht="15.75" customHeight="1" x14ac:dyDescent="0.3">
      <c r="A3" s="2" t="s">
        <v>1</v>
      </c>
      <c r="B3" s="3" t="s">
        <v>2</v>
      </c>
      <c r="F3" s="16" t="s">
        <v>3</v>
      </c>
      <c r="G3" s="17"/>
      <c r="H3" s="17"/>
      <c r="I3" s="17"/>
      <c r="J3" s="17"/>
      <c r="K3" s="17"/>
    </row>
    <row r="4" spans="1:11" ht="15.75" customHeight="1" x14ac:dyDescent="0.3">
      <c r="A4" s="2" t="s">
        <v>4</v>
      </c>
      <c r="B4" s="4">
        <v>185.07</v>
      </c>
      <c r="F4" s="17"/>
      <c r="G4" s="17"/>
      <c r="H4" s="17"/>
      <c r="I4" s="17"/>
      <c r="J4" s="17"/>
      <c r="K4" s="17"/>
    </row>
    <row r="5" spans="1:11" ht="15.75" customHeight="1" x14ac:dyDescent="0.3">
      <c r="A5" s="2" t="s">
        <v>5</v>
      </c>
      <c r="B5" s="5">
        <v>683982.69400000002</v>
      </c>
      <c r="F5" s="17"/>
      <c r="G5" s="17"/>
      <c r="H5" s="17"/>
      <c r="I5" s="17"/>
      <c r="J5" s="17"/>
      <c r="K5" s="17"/>
    </row>
    <row r="6" spans="1:11" ht="15.75" customHeight="1" x14ac:dyDescent="0.3">
      <c r="A6" s="2" t="s">
        <v>6</v>
      </c>
      <c r="B6" s="5">
        <f>B5*B4</f>
        <v>126584677.17858</v>
      </c>
      <c r="F6" s="17"/>
      <c r="G6" s="17"/>
      <c r="H6" s="17"/>
      <c r="I6" s="17"/>
      <c r="J6" s="17"/>
      <c r="K6" s="17"/>
    </row>
    <row r="7" spans="1:11" ht="15.75" customHeight="1" x14ac:dyDescent="0.3">
      <c r="A7" s="2" t="s">
        <v>7</v>
      </c>
      <c r="B7" s="5">
        <v>2536300</v>
      </c>
      <c r="F7" s="17"/>
      <c r="G7" s="17"/>
      <c r="H7" s="17"/>
      <c r="I7" s="17"/>
      <c r="J7" s="17"/>
      <c r="K7" s="17"/>
    </row>
    <row r="8" spans="1:11" ht="15.75" customHeight="1" x14ac:dyDescent="0.3">
      <c r="A8" s="2" t="s">
        <v>8</v>
      </c>
      <c r="B8" s="5">
        <v>679000</v>
      </c>
      <c r="F8" s="17"/>
      <c r="G8" s="17"/>
      <c r="H8" s="17"/>
      <c r="I8" s="17"/>
      <c r="J8" s="17"/>
      <c r="K8" s="17"/>
    </row>
    <row r="9" spans="1:11" ht="13.8" customHeight="1" x14ac:dyDescent="0.3">
      <c r="A9" s="3" t="s">
        <v>9</v>
      </c>
      <c r="B9" s="5">
        <f>B7-B8</f>
        <v>1857300</v>
      </c>
      <c r="F9" s="17"/>
      <c r="G9" s="17"/>
      <c r="H9" s="17"/>
      <c r="I9" s="17"/>
      <c r="J9" s="17"/>
      <c r="K9" s="17"/>
    </row>
    <row r="10" spans="1:11" ht="15.75" customHeight="1" x14ac:dyDescent="0.3">
      <c r="A10" s="2" t="s">
        <v>10</v>
      </c>
      <c r="B10" s="6">
        <f>B9/B7</f>
        <v>0.73228719000118281</v>
      </c>
      <c r="F10" s="17"/>
      <c r="G10" s="17"/>
      <c r="H10" s="17"/>
      <c r="I10" s="17"/>
      <c r="J10" s="17"/>
      <c r="K10" s="17"/>
    </row>
    <row r="11" spans="1:11" ht="13.8" x14ac:dyDescent="0.3">
      <c r="F11" s="17"/>
      <c r="G11" s="17"/>
      <c r="H11" s="17"/>
      <c r="I11" s="17"/>
      <c r="J11" s="17"/>
      <c r="K11" s="17"/>
    </row>
    <row r="12" spans="1:11" ht="13.8" customHeight="1" x14ac:dyDescent="0.3">
      <c r="A12" s="3" t="s">
        <v>11</v>
      </c>
      <c r="B12" s="5">
        <v>503500</v>
      </c>
      <c r="F12" s="17"/>
      <c r="G12" s="17"/>
      <c r="H12" s="17"/>
      <c r="I12" s="17"/>
      <c r="J12" s="17"/>
      <c r="K12" s="17"/>
    </row>
    <row r="13" spans="1:11" ht="13.8" customHeight="1" x14ac:dyDescent="0.3">
      <c r="A13" s="3" t="s">
        <v>12</v>
      </c>
      <c r="B13" s="5">
        <v>497200</v>
      </c>
      <c r="F13" s="17"/>
      <c r="G13" s="17"/>
      <c r="H13" s="17"/>
      <c r="I13" s="17"/>
      <c r="J13" s="17"/>
      <c r="K13" s="17"/>
    </row>
    <row r="14" spans="1:11" ht="15.75" customHeight="1" x14ac:dyDescent="0.3">
      <c r="A14" s="2" t="s">
        <v>13</v>
      </c>
      <c r="B14" s="6">
        <f>B13/B7</f>
        <v>0.19603359224066555</v>
      </c>
      <c r="F14" s="17"/>
      <c r="G14" s="17"/>
      <c r="H14" s="17"/>
      <c r="I14" s="17"/>
      <c r="J14" s="17"/>
      <c r="K14" s="17"/>
    </row>
    <row r="15" spans="1:11" ht="15.75" customHeight="1" x14ac:dyDescent="0.3">
      <c r="A15" s="2" t="s">
        <v>14</v>
      </c>
      <c r="B15" s="5">
        <f>B13/B5</f>
        <v>0.72691897669562966</v>
      </c>
      <c r="F15" s="17"/>
      <c r="G15" s="17"/>
      <c r="H15" s="17"/>
      <c r="I15" s="17"/>
      <c r="J15" s="17"/>
      <c r="K15" s="17"/>
    </row>
    <row r="16" spans="1:11" ht="13.8" x14ac:dyDescent="0.3">
      <c r="F16" s="17"/>
      <c r="G16" s="17"/>
      <c r="H16" s="17"/>
      <c r="I16" s="17"/>
      <c r="J16" s="17"/>
      <c r="K16" s="17"/>
    </row>
    <row r="17" spans="1:11" ht="15.75" customHeight="1" x14ac:dyDescent="0.3">
      <c r="A17" s="2" t="s">
        <v>15</v>
      </c>
      <c r="B17" s="5">
        <v>2268600</v>
      </c>
      <c r="F17" s="17"/>
      <c r="G17" s="17"/>
      <c r="H17" s="17"/>
      <c r="I17" s="17"/>
      <c r="J17" s="17"/>
      <c r="K17" s="17"/>
    </row>
    <row r="18" spans="1:11" ht="15.75" customHeight="1" x14ac:dyDescent="0.3">
      <c r="A18" s="2" t="s">
        <v>16</v>
      </c>
      <c r="B18" s="5">
        <v>338200</v>
      </c>
      <c r="F18" s="17"/>
      <c r="G18" s="17"/>
      <c r="H18" s="17"/>
      <c r="I18" s="17"/>
      <c r="J18" s="17"/>
      <c r="K18" s="17"/>
    </row>
    <row r="19" spans="1:11" ht="15.75" customHeight="1" x14ac:dyDescent="0.3">
      <c r="A19" s="2" t="s">
        <v>17</v>
      </c>
      <c r="B19" s="5">
        <f>B17-B18</f>
        <v>1930400</v>
      </c>
      <c r="F19" s="17"/>
      <c r="G19" s="17"/>
      <c r="H19" s="17"/>
      <c r="I19" s="17"/>
      <c r="J19" s="17"/>
      <c r="K19" s="17"/>
    </row>
    <row r="20" spans="1:11" ht="13.8" x14ac:dyDescent="0.3">
      <c r="F20" s="17"/>
      <c r="G20" s="17"/>
      <c r="H20" s="17"/>
      <c r="I20" s="17"/>
      <c r="J20" s="17"/>
      <c r="K20" s="17"/>
    </row>
    <row r="21" spans="1:11" ht="15.75" customHeight="1" x14ac:dyDescent="0.3">
      <c r="A21" s="7"/>
      <c r="B21" s="1" t="s">
        <v>18</v>
      </c>
      <c r="C21" s="1" t="s">
        <v>19</v>
      </c>
      <c r="F21" s="17"/>
      <c r="G21" s="17"/>
      <c r="H21" s="17"/>
      <c r="I21" s="17"/>
      <c r="J21" s="17"/>
      <c r="K21" s="17"/>
    </row>
    <row r="22" spans="1:11" ht="13.8" customHeight="1" x14ac:dyDescent="0.3">
      <c r="A22" s="10" t="s">
        <v>20</v>
      </c>
      <c r="B22" s="8">
        <v>0.25</v>
      </c>
      <c r="C22" s="8">
        <v>0.3</v>
      </c>
      <c r="F22" s="17"/>
      <c r="G22" s="17"/>
      <c r="H22" s="17"/>
      <c r="I22" s="17"/>
      <c r="J22" s="17"/>
      <c r="K22" s="17"/>
    </row>
    <row r="23" spans="1:11" ht="13.8" customHeight="1" x14ac:dyDescent="0.3">
      <c r="A23" s="10" t="s">
        <v>21</v>
      </c>
      <c r="B23" s="8">
        <v>0.25</v>
      </c>
      <c r="C23" s="8">
        <v>0.3</v>
      </c>
      <c r="F23" s="17"/>
      <c r="G23" s="17"/>
      <c r="H23" s="17"/>
      <c r="I23" s="17"/>
      <c r="J23" s="17"/>
      <c r="K23" s="17"/>
    </row>
    <row r="24" spans="1:11" ht="13.8" customHeight="1" x14ac:dyDescent="0.3">
      <c r="A24" s="3" t="s">
        <v>22</v>
      </c>
      <c r="B24" s="5">
        <f>B7*4*((1+B22)^5)</f>
        <v>30960693.359375</v>
      </c>
      <c r="C24" s="5">
        <f>B7*4*((1+C22)^5)</f>
        <v>37668417.436000012</v>
      </c>
      <c r="F24" s="17"/>
      <c r="G24" s="17"/>
      <c r="H24" s="17"/>
      <c r="I24" s="17"/>
      <c r="J24" s="17"/>
      <c r="K24" s="17"/>
    </row>
    <row r="25" spans="1:11" ht="13.8" customHeight="1" x14ac:dyDescent="0.3">
      <c r="A25" s="3" t="s">
        <v>23</v>
      </c>
      <c r="B25" s="5">
        <f>B24*B23</f>
        <v>7740173.33984375</v>
      </c>
      <c r="C25" s="5">
        <f>C24*C23</f>
        <v>11300525.230800003</v>
      </c>
      <c r="F25" s="17"/>
      <c r="G25" s="17"/>
      <c r="H25" s="17"/>
      <c r="I25" s="17"/>
      <c r="J25" s="17"/>
      <c r="K25" s="17"/>
    </row>
    <row r="26" spans="1:11" ht="13.8" customHeight="1" x14ac:dyDescent="0.3">
      <c r="A26" s="10" t="s">
        <v>24</v>
      </c>
      <c r="B26" s="8">
        <v>0.06</v>
      </c>
      <c r="C26" s="8">
        <v>0.04</v>
      </c>
      <c r="F26" s="17"/>
      <c r="G26" s="17"/>
      <c r="H26" s="17"/>
      <c r="I26" s="17"/>
      <c r="J26" s="17"/>
      <c r="K26" s="17"/>
    </row>
    <row r="27" spans="1:11" ht="13.8" customHeight="1" x14ac:dyDescent="0.3">
      <c r="A27" s="3" t="s">
        <v>25</v>
      </c>
      <c r="B27" s="5">
        <f>B5*(1+B26)</f>
        <v>725021.65564000001</v>
      </c>
      <c r="C27" s="5">
        <f>B5*(1+C26)</f>
        <v>711342.00176000001</v>
      </c>
      <c r="F27" s="17"/>
      <c r="G27" s="17"/>
      <c r="H27" s="17"/>
      <c r="I27" s="17"/>
      <c r="J27" s="17"/>
      <c r="K27" s="17"/>
    </row>
    <row r="28" spans="1:11" ht="13.8" x14ac:dyDescent="0.3">
      <c r="F28" s="17"/>
      <c r="G28" s="17"/>
      <c r="H28" s="17"/>
      <c r="I28" s="17"/>
      <c r="J28" s="17"/>
      <c r="K28" s="17"/>
    </row>
    <row r="29" spans="1:11" ht="13.8" customHeight="1" x14ac:dyDescent="0.3">
      <c r="A29" s="10" t="s">
        <v>26</v>
      </c>
      <c r="B29" s="5">
        <v>0</v>
      </c>
      <c r="C29" s="5">
        <v>0</v>
      </c>
      <c r="F29" s="17"/>
      <c r="G29" s="17"/>
      <c r="H29" s="17"/>
      <c r="I29" s="17"/>
      <c r="J29" s="17"/>
      <c r="K29" s="17"/>
    </row>
    <row r="30" spans="1:11" ht="13.8" customHeight="1" x14ac:dyDescent="0.3">
      <c r="A30" s="10" t="s">
        <v>27</v>
      </c>
      <c r="B30" s="8">
        <v>0.05</v>
      </c>
      <c r="C30" s="8">
        <v>0.04</v>
      </c>
      <c r="F30" s="17"/>
      <c r="G30" s="17"/>
      <c r="H30" s="17"/>
      <c r="I30" s="17"/>
      <c r="J30" s="17"/>
      <c r="K30" s="17"/>
    </row>
    <row r="31" spans="1:11" ht="13.8" customHeight="1" x14ac:dyDescent="0.3">
      <c r="A31" s="10" t="s">
        <v>28</v>
      </c>
      <c r="B31" s="8">
        <v>0.2</v>
      </c>
      <c r="C31" s="8">
        <v>0.18</v>
      </c>
      <c r="F31" s="17"/>
      <c r="G31" s="17"/>
      <c r="H31" s="17"/>
      <c r="I31" s="17"/>
      <c r="J31" s="17"/>
      <c r="K31" s="17"/>
    </row>
    <row r="32" spans="1:11" ht="13.8" customHeight="1" x14ac:dyDescent="0.3">
      <c r="A32" s="3" t="s">
        <v>29</v>
      </c>
      <c r="B32" s="5">
        <f>(B25-B29*B30)*(1-B31)</f>
        <v>6192138.671875</v>
      </c>
      <c r="C32" s="5">
        <f>(C25-C29*C30)*(1-C31)</f>
        <v>9266430.6892560031</v>
      </c>
      <c r="F32" s="17"/>
      <c r="G32" s="17"/>
      <c r="H32" s="17"/>
      <c r="I32" s="17"/>
      <c r="J32" s="17"/>
      <c r="K32" s="17"/>
    </row>
    <row r="33" spans="1:11" ht="13.8" x14ac:dyDescent="0.3">
      <c r="F33" s="17"/>
      <c r="G33" s="17"/>
      <c r="H33" s="17"/>
      <c r="I33" s="17"/>
      <c r="J33" s="17"/>
      <c r="K33" s="17"/>
    </row>
    <row r="34" spans="1:11" ht="13.8" customHeight="1" x14ac:dyDescent="0.3">
      <c r="A34" s="3" t="s">
        <v>30</v>
      </c>
      <c r="B34" s="5">
        <f>B32/B27</f>
        <v>8.5406258195267277</v>
      </c>
      <c r="C34" s="5">
        <f>C32/C27</f>
        <v>13.026688521595844</v>
      </c>
      <c r="F34" s="17"/>
      <c r="G34" s="17"/>
      <c r="H34" s="17"/>
      <c r="I34" s="17"/>
      <c r="J34" s="17"/>
      <c r="K34" s="17"/>
    </row>
    <row r="35" spans="1:11" ht="13.8" customHeight="1" x14ac:dyDescent="0.3">
      <c r="A35" s="3" t="s">
        <v>31</v>
      </c>
      <c r="B35" s="3">
        <v>35</v>
      </c>
      <c r="C35" s="3">
        <v>45</v>
      </c>
      <c r="F35" s="17"/>
      <c r="G35" s="17"/>
      <c r="H35" s="17"/>
      <c r="I35" s="17"/>
      <c r="J35" s="17"/>
      <c r="K35" s="17"/>
    </row>
    <row r="36" spans="1:11" ht="13.8" customHeight="1" x14ac:dyDescent="0.3">
      <c r="A36" s="3" t="s">
        <v>32</v>
      </c>
      <c r="B36" s="5">
        <f>B34*B35</f>
        <v>298.92190368343546</v>
      </c>
      <c r="C36" s="5">
        <f>C34*C35</f>
        <v>586.20098347181295</v>
      </c>
      <c r="F36" s="17"/>
      <c r="G36" s="17"/>
      <c r="H36" s="17"/>
      <c r="I36" s="17"/>
      <c r="J36" s="17"/>
      <c r="K36" s="17"/>
    </row>
    <row r="37" spans="1:11" ht="13.8" customHeight="1" x14ac:dyDescent="0.3">
      <c r="A37" s="9" t="s">
        <v>33</v>
      </c>
      <c r="B37" s="8">
        <v>0.05</v>
      </c>
      <c r="C37" s="8">
        <v>0.05</v>
      </c>
      <c r="F37" s="17"/>
      <c r="G37" s="17"/>
      <c r="H37" s="17"/>
      <c r="I37" s="17"/>
      <c r="J37" s="17"/>
      <c r="K37" s="17"/>
    </row>
    <row r="38" spans="1:11" ht="13.8" customHeight="1" x14ac:dyDescent="0.3">
      <c r="A38" s="3" t="s">
        <v>34</v>
      </c>
      <c r="B38" s="13">
        <f>B36/((B37+1)^5)</f>
        <v>234.21313326653612</v>
      </c>
      <c r="C38" s="13">
        <f>C36/((C37+1)^5)</f>
        <v>459.30380935971004</v>
      </c>
      <c r="F38" s="17"/>
      <c r="G38" s="17"/>
      <c r="H38" s="17"/>
      <c r="I38" s="17"/>
      <c r="J38" s="17"/>
      <c r="K38" s="17"/>
    </row>
    <row r="39" spans="1:11" ht="13.8" customHeight="1" x14ac:dyDescent="0.3">
      <c r="A39" s="11" t="s">
        <v>35</v>
      </c>
      <c r="B39" s="14">
        <v>1</v>
      </c>
      <c r="C39" s="15"/>
      <c r="F39" s="17"/>
      <c r="G39" s="17"/>
      <c r="H39" s="17"/>
      <c r="I39" s="17"/>
      <c r="J39" s="17"/>
      <c r="K39" s="17"/>
    </row>
    <row r="40" spans="1:11" ht="13.8" customHeight="1" x14ac:dyDescent="0.3">
      <c r="A40" s="12" t="s">
        <v>36</v>
      </c>
      <c r="B40" s="14">
        <f>((C38*B39-B4)/(C38*B39-B38))</f>
        <v>1.2183259392147983</v>
      </c>
      <c r="C40" s="15"/>
      <c r="F40" s="17"/>
      <c r="G40" s="17"/>
      <c r="H40" s="17"/>
      <c r="I40" s="17"/>
      <c r="J40" s="17"/>
      <c r="K40" s="17"/>
    </row>
  </sheetData>
  <mergeCells count="3">
    <mergeCell ref="B39:C39"/>
    <mergeCell ref="F3:K40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stock_val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kbk</dc:creator>
  <cp:lastModifiedBy>kbk</cp:lastModifiedBy>
  <dcterms:created xsi:type="dcterms:W3CDTF">2025-11-17T07:16:00Z</dcterms:created>
  <dcterms:modified xsi:type="dcterms:W3CDTF">2025-11-21T00:30:00Z</dcterms:modified>
</cp:coreProperties>
</file>